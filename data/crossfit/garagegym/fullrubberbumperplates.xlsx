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<sst xmlns="http://schemas.openxmlformats.org/spreadsheetml/2006/main" count="34" uniqueCount="22">
  <si>
    <t>Barbell</t>
  </si>
  <si>
    <t>parameters</t>
  </si>
  <si>
    <t>amount</t>
  </si>
  <si>
    <t>price</t>
  </si>
  <si>
    <t>eur/chf spot:</t>
  </si>
  <si>
    <t>shipping costs:</t>
  </si>
  <si>
    <t>Total exkl. Mwst:</t>
  </si>
  <si>
    <t>Total inkl. Mwst:</t>
  </si>
  <si>
    <t>Roman chair</t>
  </si>
  <si>
    <t>Rack</t>
  </si>
  <si>
    <t>Bench</t>
  </si>
  <si>
    <t>Pull up bar</t>
  </si>
  <si>
    <t>Rubber mats</t>
  </si>
  <si>
    <t>dimension</t>
  </si>
  <si>
    <t>50*100</t>
  </si>
  <si>
    <t>50*150</t>
  </si>
  <si>
    <t>75*100</t>
  </si>
  <si>
    <t>100*100</t>
  </si>
  <si>
    <t>100*150</t>
  </si>
  <si>
    <t>100*200</t>
  </si>
  <si>
    <t>Plates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</si>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</sst>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€ #,##0.00"/>
  </numFmts>
  <fonts count="8">
    <font>
      <sz val="10.0"/>
      <color rgb="FF000000"/>
      <name val="Arial"/>
    </font>
    <font/>
    <font>
      <b/>
      <sz val="10.0"/>
      <color rgb="FF000000"/>
    </font>
    <font>
      <b/>
      <sz val="10.0"/>
      <color rgb="FF800000"/>
    </font>
    <font>
      <sz val="10.0"/>
      <color rgb="FF000000"/>
    </font>
    <font>
      <b/>
      <sz val="10.0"/>
      <color rgb="FF0000FF"/>
    </font>
    <font>
      <sz val="10.0"/>
      <color rgb="FF0000FF"/>
    </font>
    <font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</fills>
  <borders count="10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left" readingOrder="0" shrinkToFit="0" vertical="bottom" wrapText="0"/>
    </xf>
    <xf borderId="4" fillId="0" fontId="1" numFmtId="0" xfId="0" applyAlignment="1" applyBorder="1" applyFont="1">
      <alignment shrinkToFit="0" wrapText="1"/>
    </xf>
    <xf borderId="3" fillId="2" fontId="3" numFmtId="0" xfId="0" applyAlignment="1" applyBorder="1" applyFont="1">
      <alignment horizontal="left" readingOrder="0" shrinkToFit="0" vertical="bottom" wrapText="0"/>
    </xf>
    <xf borderId="5" fillId="2" fontId="3" numFmtId="0" xfId="0" applyAlignment="1" applyBorder="1" applyFont="1">
      <alignment horizontal="left"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5" fillId="3" fontId="2" numFmtId="0" xfId="0" applyAlignment="1" applyBorder="1" applyFill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wrapText="1"/>
    </xf>
    <xf borderId="6" fillId="2" fontId="6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4" numFmtId="164" xfId="0" applyAlignment="1" applyBorder="1" applyFont="1" applyNumberFormat="1">
      <alignment readingOrder="0" shrinkToFit="0" vertical="bottom" wrapText="0"/>
    </xf>
    <xf borderId="7" fillId="2" fontId="4" numFmtId="164" xfId="0" applyAlignment="1" applyBorder="1" applyFont="1" applyNumberFormat="1">
      <alignment shrinkToFit="0" vertical="bottom" wrapText="0"/>
    </xf>
    <xf borderId="8" fillId="0" fontId="1" numFmtId="0" xfId="0" applyAlignment="1" applyBorder="1" applyFont="1">
      <alignment shrinkToFit="0" wrapText="1"/>
    </xf>
    <xf borderId="0" fillId="3" fontId="4" numFmtId="164" xfId="0" applyAlignment="1" applyFont="1" applyNumberFormat="1">
      <alignment readingOrder="0" shrinkToFit="0" vertical="bottom" wrapText="0"/>
    </xf>
    <xf borderId="2" fillId="3" fontId="4" numFmtId="164" xfId="0" applyAlignment="1" applyBorder="1" applyFont="1" applyNumberFormat="1">
      <alignment shrinkToFit="0" vertical="bottom" wrapText="0"/>
    </xf>
    <xf borderId="5" fillId="2" fontId="4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shrinkToFit="0" vertical="bottom" wrapText="0"/>
    </xf>
    <xf borderId="4" fillId="2" fontId="4" numFmtId="164" xfId="0" applyAlignment="1" applyBorder="1" applyFont="1" applyNumberFormat="1">
      <alignment shrinkToFit="0" vertical="bottom" wrapText="0"/>
    </xf>
    <xf borderId="9" fillId="2" fontId="4" numFmtId="164" xfId="0" applyAlignment="1" applyBorder="1" applyFont="1" applyNumberFormat="1">
      <alignment shrinkToFit="0" vertical="bottom" wrapText="0"/>
    </xf>
    <xf borderId="5" fillId="4" fontId="2" numFmtId="0" xfId="0" applyAlignment="1" applyBorder="1" applyFill="1" applyFont="1">
      <alignment readingOrder="0" shrinkToFit="0" vertical="bottom" wrapText="0"/>
    </xf>
    <xf borderId="0" fillId="4" fontId="4" numFmtId="164" xfId="0" applyAlignment="1" applyFont="1" applyNumberFormat="1">
      <alignment shrinkToFit="0" vertical="bottom" wrapText="0"/>
    </xf>
    <xf borderId="2" fillId="4" fontId="4" numFmtId="164" xfId="0" applyAlignment="1" applyBorder="1" applyFont="1" applyNumberFormat="1">
      <alignment shrinkToFit="0" vertical="bottom" wrapText="0"/>
    </xf>
    <xf borderId="0" fillId="2" fontId="4" numFmtId="0" xfId="0" applyAlignment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6" fillId="4" fontId="2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7" fillId="4" fontId="4" numFmtId="164" xfId="0" applyAlignment="1" applyBorder="1" applyFont="1" applyNumberFormat="1">
      <alignment shrinkToFit="0" vertical="bottom" wrapText="0"/>
    </xf>
    <xf borderId="5" fillId="2" fontId="2" numFmtId="0" xfId="0" applyAlignment="1" applyBorder="1" applyFont="1">
      <alignment horizontal="left" readingOrder="0" shrinkToFit="0" vertical="bottom" wrapText="0"/>
    </xf>
    <xf borderId="5" fillId="2" fontId="7" numFmtId="0" xfId="0" applyAlignment="1" applyBorder="1" applyFont="1">
      <alignment horizontal="left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5" fillId="2" fontId="6" numFmtId="0" xfId="0" applyAlignment="1" applyBorder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readingOrder="0" shrinkToFit="0" vertical="bottom" wrapText="0"/>
    </xf>
    <xf borderId="2" fillId="2" fontId="4" numFmtId="164" xfId="0" applyAlignment="1" applyBorder="1" applyFont="1" applyNumberForma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3" fillId="2" fontId="4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shrinkToFit="0" vertical="bottom" wrapText="0"/>
    </xf>
    <xf borderId="7" fillId="2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13"/>
    <col customWidth="1" min="2" max="2" width="11.88"/>
    <col customWidth="1" min="3" max="3" width="11.13"/>
    <col customWidth="1" min="4" max="4" width="9.5"/>
    <col customWidth="1" min="5" max="5" width="13.0"/>
    <col customWidth="1" min="6" max="6" width="10.0"/>
    <col customWidth="1" min="7" max="7" width="17.75"/>
    <col customWidth="1" min="8" max="8" width="9.75"/>
    <col customWidth="1" min="9" max="9" width="12.38"/>
    <col customWidth="1" min="10" max="11" width="8.13"/>
  </cols>
  <sheetData>
    <row r="8" ht="13.5" customHeight="1">
      <c r="B8" s="1"/>
      <c r="C8" s="1"/>
      <c r="D8" s="1"/>
      <c r="E8" s="1"/>
      <c r="G8" s="1"/>
      <c r="H8" s="1"/>
      <c r="I8" s="1"/>
    </row>
    <row r="9">
      <c r="A9" s="2"/>
      <c r="B9" s="3" t="s">
        <v>0</v>
      </c>
      <c r="C9" s="4"/>
      <c r="D9" s="4"/>
      <c r="E9" s="4"/>
      <c r="F9" s="2"/>
      <c r="G9" s="5" t="s">
        <v>1</v>
      </c>
      <c r="H9" s="4"/>
      <c r="I9" s="4"/>
    </row>
    <row r="10">
      <c r="A10" s="2"/>
      <c r="B10" s="6" t="s">
        <v>2</v>
      </c>
      <c r="D10" s="7" t="s">
        <v>3</v>
      </c>
      <c r="F10" s="2"/>
      <c r="G10" s="8" t="s">
        <v>4</v>
      </c>
      <c r="H10" s="9"/>
      <c r="I10" s="10">
        <v>1.51</v>
      </c>
      <c r="J10" s="11"/>
    </row>
    <row r="11">
      <c r="A11" s="2"/>
      <c r="B11" s="12">
        <v>2.0</v>
      </c>
      <c r="C11" s="13"/>
      <c r="D11" s="14">
        <v>209.0</v>
      </c>
      <c r="E11" s="15">
        <f>D11*I$10</f>
        <v>315.59</v>
      </c>
      <c r="F11" s="16"/>
      <c r="G11" s="8" t="s">
        <v>5</v>
      </c>
      <c r="H11" s="17">
        <v>75.0</v>
      </c>
      <c r="I11" s="18">
        <f>H11*I10</f>
        <v>113.25</v>
      </c>
      <c r="J11" s="19"/>
    </row>
    <row r="12">
      <c r="A12" s="2"/>
      <c r="B12" s="20"/>
      <c r="C12" s="4"/>
      <c r="D12" s="21">
        <f t="shared" ref="D12:E12" si="1">$B11*D11</f>
        <v>418</v>
      </c>
      <c r="E12" s="22">
        <f t="shared" si="1"/>
        <v>631.18</v>
      </c>
      <c r="F12" s="16"/>
      <c r="G12" s="23" t="s">
        <v>6</v>
      </c>
      <c r="H12" s="24">
        <f>SUM(D12,D17,D30,D43,D56,D74,D91,H11)</f>
        <v>2218.97</v>
      </c>
      <c r="I12" s="25">
        <f>H12*I10</f>
        <v>3350.6447</v>
      </c>
      <c r="J12" s="11"/>
    </row>
    <row r="13" ht="13.5" customHeight="1">
      <c r="A13" s="2"/>
      <c r="B13" s="19"/>
      <c r="C13" s="26"/>
      <c r="D13" s="26"/>
      <c r="E13" s="27"/>
      <c r="F13" s="16"/>
      <c r="G13" s="28" t="s">
        <v>7</v>
      </c>
      <c r="H13" s="29"/>
      <c r="I13" s="30">
        <f>I12*1.076</f>
        <v>3605.293697</v>
      </c>
      <c r="J13" s="11"/>
    </row>
    <row r="14">
      <c r="A14" s="2"/>
      <c r="B14" s="31" t="s">
        <v>8</v>
      </c>
      <c r="G14" s="4"/>
      <c r="H14" s="4"/>
      <c r="I14" s="4"/>
      <c r="J14" s="26"/>
    </row>
    <row r="15">
      <c r="A15" s="2"/>
      <c r="B15" s="6" t="s">
        <v>2</v>
      </c>
      <c r="D15" s="7" t="s">
        <v>3</v>
      </c>
    </row>
    <row r="16">
      <c r="A16" s="2"/>
      <c r="B16" s="12">
        <v>2.0</v>
      </c>
      <c r="C16" s="13"/>
      <c r="D16" s="14">
        <v>217.55</v>
      </c>
      <c r="E16" s="15">
        <f>D16*I$10</f>
        <v>328.5005</v>
      </c>
      <c r="F16" s="11"/>
      <c r="K16" s="26"/>
    </row>
    <row r="17">
      <c r="A17" s="2"/>
      <c r="B17" s="20"/>
      <c r="C17" s="4"/>
      <c r="D17" s="21">
        <f t="shared" ref="D17:E17" si="2">$B16*D16</f>
        <v>435.1</v>
      </c>
      <c r="E17" s="22">
        <f t="shared" si="2"/>
        <v>657.001</v>
      </c>
      <c r="F17" s="11"/>
      <c r="K17" s="26"/>
    </row>
    <row r="18">
      <c r="A18" s="2"/>
      <c r="B18" s="19"/>
      <c r="E18" s="27"/>
      <c r="F18" s="11"/>
      <c r="K18" s="26"/>
    </row>
    <row r="19">
      <c r="A19" s="2"/>
      <c r="B19" s="19"/>
      <c r="E19" s="27"/>
      <c r="F19" s="11"/>
      <c r="K19" s="26"/>
    </row>
    <row r="20">
      <c r="A20" s="2"/>
      <c r="B20" s="19"/>
      <c r="E20" s="27"/>
      <c r="F20" s="11"/>
      <c r="K20" s="26"/>
    </row>
    <row r="21">
      <c r="A21" s="2"/>
      <c r="B21" s="19"/>
      <c r="E21" s="27"/>
      <c r="F21" s="11"/>
      <c r="K21" s="26"/>
    </row>
    <row r="22">
      <c r="A22" s="2"/>
      <c r="B22" s="19"/>
      <c r="E22" s="27"/>
      <c r="F22" s="11"/>
      <c r="K22" s="26"/>
    </row>
    <row r="23">
      <c r="A23" s="2"/>
      <c r="B23" s="19"/>
      <c r="E23" s="27"/>
      <c r="F23" s="11"/>
      <c r="K23" s="26"/>
    </row>
    <row r="24">
      <c r="A24" s="2"/>
      <c r="B24" s="19"/>
      <c r="E24" s="27"/>
      <c r="F24" s="11"/>
      <c r="H24" s="26"/>
      <c r="K24" s="26"/>
    </row>
    <row r="25">
      <c r="A25" s="2"/>
      <c r="B25" s="19"/>
      <c r="E25" s="27"/>
      <c r="F25" s="11"/>
      <c r="H25" s="26"/>
      <c r="J25" s="26"/>
      <c r="K25" s="26"/>
    </row>
    <row r="26">
      <c r="A26" s="2"/>
      <c r="B26" s="32"/>
      <c r="H26" s="26"/>
      <c r="J26" s="26"/>
      <c r="K26" s="26"/>
    </row>
    <row r="27">
      <c r="A27" s="2"/>
      <c r="B27" s="31" t="s">
        <v>9</v>
      </c>
      <c r="H27" s="26"/>
      <c r="J27" s="26"/>
      <c r="K27" s="26"/>
    </row>
    <row r="28">
      <c r="A28" s="2"/>
      <c r="B28" s="6" t="s">
        <v>2</v>
      </c>
      <c r="D28" s="7" t="s">
        <v>3</v>
      </c>
      <c r="H28" s="26"/>
      <c r="J28" s="26"/>
      <c r="K28" s="26"/>
    </row>
    <row r="29">
      <c r="A29" s="2"/>
      <c r="B29" s="12">
        <v>1.0</v>
      </c>
      <c r="C29" s="13"/>
      <c r="D29" s="14">
        <v>251.26</v>
      </c>
      <c r="E29" s="15">
        <f>D29*I$10</f>
        <v>379.4026</v>
      </c>
      <c r="F29" s="11"/>
      <c r="H29" s="26"/>
      <c r="J29" s="26"/>
      <c r="K29" s="26"/>
    </row>
    <row r="30">
      <c r="A30" s="2"/>
      <c r="B30" s="20"/>
      <c r="C30" s="4"/>
      <c r="D30" s="21">
        <f t="shared" ref="D30:E30" si="3">$B29*D29</f>
        <v>251.26</v>
      </c>
      <c r="E30" s="22">
        <f t="shared" si="3"/>
        <v>379.4026</v>
      </c>
      <c r="F30" s="11"/>
      <c r="H30" s="26"/>
      <c r="J30" s="26"/>
      <c r="K30" s="26"/>
    </row>
    <row r="31">
      <c r="A31" s="2"/>
      <c r="B31" s="19"/>
      <c r="E31" s="27"/>
      <c r="F31" s="11"/>
      <c r="H31" s="26"/>
      <c r="J31" s="26"/>
      <c r="K31" s="26"/>
    </row>
    <row r="32">
      <c r="A32" s="2"/>
      <c r="B32" s="19"/>
      <c r="E32" s="27"/>
      <c r="F32" s="11"/>
      <c r="H32" s="26"/>
      <c r="J32" s="26"/>
      <c r="K32" s="26"/>
    </row>
    <row r="33">
      <c r="A33" s="2"/>
      <c r="B33" s="19"/>
      <c r="E33" s="27"/>
      <c r="F33" s="11"/>
      <c r="H33" s="26"/>
      <c r="J33" s="26"/>
      <c r="K33" s="26"/>
    </row>
    <row r="34">
      <c r="A34" s="2"/>
      <c r="B34" s="19"/>
      <c r="E34" s="27"/>
      <c r="F34" s="11"/>
      <c r="H34" s="26"/>
      <c r="J34" s="26"/>
      <c r="K34" s="26"/>
    </row>
    <row r="35">
      <c r="A35" s="2"/>
      <c r="B35" s="19"/>
      <c r="E35" s="27"/>
      <c r="F35" s="11"/>
      <c r="H35" s="26"/>
      <c r="J35" s="26"/>
      <c r="K35" s="26"/>
    </row>
    <row r="36">
      <c r="A36" s="2"/>
      <c r="B36" s="19"/>
      <c r="E36" s="27"/>
      <c r="F36" s="11"/>
      <c r="H36" s="26"/>
      <c r="J36" s="26"/>
      <c r="K36" s="26"/>
    </row>
    <row r="37">
      <c r="A37" s="2"/>
      <c r="B37" s="19"/>
      <c r="E37" s="27"/>
      <c r="F37" s="11"/>
      <c r="H37" s="26"/>
      <c r="J37" s="26"/>
      <c r="K37" s="26"/>
    </row>
    <row r="38">
      <c r="A38" s="2"/>
      <c r="B38" s="19"/>
      <c r="E38" s="27"/>
      <c r="F38" s="11"/>
      <c r="H38" s="26"/>
      <c r="J38" s="26"/>
      <c r="K38" s="26"/>
    </row>
    <row r="39">
      <c r="A39" s="2"/>
      <c r="B39" s="19"/>
      <c r="E39" s="27"/>
      <c r="F39" s="11"/>
      <c r="H39" s="26"/>
      <c r="J39" s="26"/>
      <c r="K39" s="26"/>
    </row>
    <row r="40">
      <c r="A40" s="2"/>
      <c r="B40" s="31" t="s">
        <v>10</v>
      </c>
      <c r="H40" s="26"/>
      <c r="J40" s="26"/>
      <c r="K40" s="26"/>
    </row>
    <row r="41">
      <c r="A41" s="2"/>
      <c r="B41" s="6" t="s">
        <v>2</v>
      </c>
      <c r="D41" s="7" t="s">
        <v>3</v>
      </c>
      <c r="H41" s="26"/>
      <c r="J41" s="26"/>
      <c r="K41" s="26"/>
    </row>
    <row r="42">
      <c r="A42" s="2"/>
      <c r="B42" s="12">
        <v>1.0</v>
      </c>
      <c r="C42" s="13"/>
      <c r="D42" s="14">
        <v>66.39</v>
      </c>
      <c r="E42" s="15">
        <f>D42*I$10</f>
        <v>100.2489</v>
      </c>
      <c r="F42" s="11"/>
      <c r="H42" s="26"/>
      <c r="J42" s="26"/>
      <c r="K42" s="26"/>
    </row>
    <row r="43">
      <c r="A43" s="2"/>
      <c r="B43" s="20"/>
      <c r="C43" s="4"/>
      <c r="D43" s="21">
        <f t="shared" ref="D43:E43" si="4">$B42*D42</f>
        <v>66.39</v>
      </c>
      <c r="E43" s="22">
        <f t="shared" si="4"/>
        <v>100.2489</v>
      </c>
      <c r="F43" s="11"/>
      <c r="H43" s="26"/>
      <c r="J43" s="26"/>
      <c r="K43" s="26"/>
    </row>
    <row r="44">
      <c r="A44" s="2"/>
      <c r="B44" s="19"/>
      <c r="E44" s="27"/>
      <c r="F44" s="11"/>
      <c r="H44" s="26"/>
      <c r="J44" s="26"/>
    </row>
    <row r="45">
      <c r="A45" s="2"/>
      <c r="B45" s="19"/>
      <c r="E45" s="27"/>
      <c r="F45" s="11"/>
      <c r="H45" s="26"/>
      <c r="J45" s="26"/>
    </row>
    <row r="46">
      <c r="A46" s="2"/>
      <c r="B46" s="19"/>
      <c r="E46" s="27"/>
      <c r="F46" s="11"/>
      <c r="H46" s="26"/>
      <c r="J46" s="26"/>
    </row>
    <row r="47">
      <c r="A47" s="2"/>
      <c r="B47" s="19"/>
      <c r="E47" s="27"/>
      <c r="F47" s="11"/>
      <c r="H47" s="26"/>
      <c r="J47" s="26"/>
    </row>
    <row r="48">
      <c r="A48" s="2"/>
      <c r="B48" s="19"/>
      <c r="E48" s="27"/>
      <c r="F48" s="11"/>
      <c r="H48" s="26"/>
      <c r="J48" s="26"/>
    </row>
    <row r="49">
      <c r="A49" s="2"/>
      <c r="B49" s="19"/>
      <c r="E49" s="27"/>
      <c r="F49" s="11"/>
      <c r="H49" s="26"/>
      <c r="I49" s="26"/>
      <c r="J49" s="26"/>
    </row>
    <row r="50">
      <c r="A50" s="2"/>
      <c r="B50" s="19"/>
      <c r="E50" s="27"/>
      <c r="F50" s="11"/>
      <c r="H50" s="26"/>
      <c r="I50" s="26"/>
      <c r="J50" s="26"/>
    </row>
    <row r="51">
      <c r="A51" s="2"/>
      <c r="B51" s="19"/>
      <c r="E51" s="27"/>
      <c r="F51" s="11"/>
      <c r="H51" s="26"/>
      <c r="I51" s="26"/>
      <c r="J51" s="26"/>
    </row>
    <row r="52">
      <c r="A52" s="2"/>
      <c r="B52" s="19"/>
      <c r="E52" s="27"/>
      <c r="F52" s="11"/>
      <c r="H52" s="26"/>
      <c r="I52" s="26"/>
      <c r="J52" s="26"/>
    </row>
    <row r="53">
      <c r="A53" s="2"/>
      <c r="B53" s="31" t="s">
        <v>11</v>
      </c>
      <c r="H53" s="26"/>
      <c r="I53" s="26"/>
      <c r="J53" s="26"/>
    </row>
    <row r="54">
      <c r="A54" s="2"/>
      <c r="B54" s="6" t="s">
        <v>2</v>
      </c>
      <c r="D54" s="7" t="s">
        <v>3</v>
      </c>
      <c r="H54" s="26"/>
      <c r="I54" s="26"/>
      <c r="J54" s="26"/>
      <c r="K54" s="26"/>
    </row>
    <row r="55">
      <c r="A55" s="2"/>
      <c r="B55" s="12">
        <v>2.0</v>
      </c>
      <c r="C55" s="13"/>
      <c r="D55" s="14">
        <v>74.79</v>
      </c>
      <c r="E55" s="15">
        <f>D55*I$10</f>
        <v>112.9329</v>
      </c>
      <c r="F55" s="11"/>
      <c r="I55" s="26"/>
      <c r="J55" s="26"/>
      <c r="K55" s="26"/>
    </row>
    <row r="56">
      <c r="A56" s="2"/>
      <c r="B56" s="20"/>
      <c r="C56" s="4"/>
      <c r="D56" s="21">
        <f t="shared" ref="D56:E56" si="5">$B55*D55</f>
        <v>149.58</v>
      </c>
      <c r="E56" s="22">
        <f t="shared" si="5"/>
        <v>225.8658</v>
      </c>
      <c r="F56" s="11"/>
      <c r="I56" s="26"/>
      <c r="J56" s="26"/>
      <c r="K56" s="26"/>
    </row>
    <row r="57">
      <c r="A57" s="2"/>
      <c r="B57" s="19"/>
      <c r="E57" s="27"/>
      <c r="F57" s="11"/>
      <c r="I57" s="26"/>
      <c r="J57" s="26"/>
      <c r="K57" s="26"/>
    </row>
    <row r="58">
      <c r="A58" s="2"/>
      <c r="B58" s="19"/>
      <c r="E58" s="27"/>
      <c r="F58" s="11"/>
      <c r="I58" s="26"/>
      <c r="J58" s="26"/>
      <c r="K58" s="26"/>
    </row>
    <row r="59">
      <c r="A59" s="2"/>
      <c r="B59" s="19"/>
      <c r="E59" s="27"/>
      <c r="F59" s="11"/>
      <c r="I59" s="26"/>
      <c r="J59" s="26"/>
      <c r="K59" s="26"/>
    </row>
    <row r="60">
      <c r="A60" s="2"/>
      <c r="B60" s="19"/>
      <c r="E60" s="27"/>
      <c r="F60" s="11"/>
      <c r="I60" s="26"/>
      <c r="J60" s="26"/>
      <c r="K60" s="26"/>
    </row>
    <row r="61">
      <c r="A61" s="2"/>
      <c r="B61" s="19"/>
      <c r="E61" s="27"/>
      <c r="F61" s="11"/>
      <c r="I61" s="26"/>
      <c r="J61" s="26"/>
      <c r="K61" s="26"/>
    </row>
    <row r="62">
      <c r="A62" s="2"/>
      <c r="B62" s="19"/>
      <c r="E62" s="27"/>
      <c r="F62" s="11"/>
      <c r="I62" s="26"/>
      <c r="J62" s="26"/>
      <c r="K62" s="26"/>
    </row>
    <row r="63">
      <c r="A63" s="2"/>
      <c r="B63" s="19"/>
      <c r="E63" s="27"/>
      <c r="F63" s="11"/>
      <c r="I63" s="26"/>
      <c r="K63" s="26"/>
    </row>
    <row r="64">
      <c r="A64" s="2"/>
      <c r="B64" s="19"/>
      <c r="E64" s="27"/>
      <c r="F64" s="11"/>
      <c r="I64" s="26"/>
      <c r="K64" s="26"/>
    </row>
    <row r="65">
      <c r="A65" s="2"/>
      <c r="B65" s="19"/>
      <c r="E65" s="27"/>
      <c r="F65" s="11"/>
      <c r="I65" s="26"/>
      <c r="K65" s="26"/>
    </row>
    <row r="66">
      <c r="A66" s="2"/>
      <c r="B66" s="31" t="s">
        <v>12</v>
      </c>
      <c r="I66" s="26"/>
      <c r="K66" s="26"/>
    </row>
    <row r="67">
      <c r="A67" s="2"/>
      <c r="B67" s="33" t="s">
        <v>2</v>
      </c>
      <c r="C67" s="34" t="s">
        <v>13</v>
      </c>
      <c r="D67" s="7" t="s">
        <v>3</v>
      </c>
      <c r="I67" s="26"/>
      <c r="K67" s="26"/>
    </row>
    <row r="68">
      <c r="A68" s="2"/>
      <c r="B68" s="35">
        <v>0.0</v>
      </c>
      <c r="C68" s="36" t="s">
        <v>14</v>
      </c>
      <c r="D68" s="37">
        <v>12.52</v>
      </c>
      <c r="E68" s="38">
        <f t="shared" ref="E68:E73" si="6">D68*I$10</f>
        <v>18.9052</v>
      </c>
      <c r="F68" s="11"/>
      <c r="K68" s="26"/>
    </row>
    <row r="69">
      <c r="A69" s="2"/>
      <c r="B69" s="35">
        <v>0.0</v>
      </c>
      <c r="C69" s="36" t="s">
        <v>15</v>
      </c>
      <c r="D69" s="37">
        <v>20.09</v>
      </c>
      <c r="E69" s="38">
        <f t="shared" si="6"/>
        <v>30.3359</v>
      </c>
      <c r="F69" s="11"/>
      <c r="K69" s="26"/>
    </row>
    <row r="70">
      <c r="A70" s="2"/>
      <c r="B70" s="35">
        <v>0.0</v>
      </c>
      <c r="C70" s="36" t="s">
        <v>16</v>
      </c>
      <c r="D70" s="37">
        <v>19.25</v>
      </c>
      <c r="E70" s="38">
        <f t="shared" si="6"/>
        <v>29.0675</v>
      </c>
      <c r="F70" s="11"/>
      <c r="K70" s="26"/>
    </row>
    <row r="71">
      <c r="A71" s="2"/>
      <c r="B71" s="35">
        <v>0.0</v>
      </c>
      <c r="C71" s="36" t="s">
        <v>17</v>
      </c>
      <c r="D71" s="37">
        <v>22.61</v>
      </c>
      <c r="E71" s="38">
        <f t="shared" si="6"/>
        <v>34.1411</v>
      </c>
      <c r="F71" s="11"/>
      <c r="K71" s="26"/>
    </row>
    <row r="72">
      <c r="A72" s="2"/>
      <c r="B72" s="35">
        <v>0.0</v>
      </c>
      <c r="C72" s="36" t="s">
        <v>18</v>
      </c>
      <c r="D72" s="37">
        <v>34.37</v>
      </c>
      <c r="E72" s="38">
        <f t="shared" si="6"/>
        <v>51.8987</v>
      </c>
      <c r="F72" s="11"/>
      <c r="K72" s="26"/>
    </row>
    <row r="73">
      <c r="A73" s="2"/>
      <c r="B73" s="12">
        <v>2.0</v>
      </c>
      <c r="C73" s="39" t="s">
        <v>19</v>
      </c>
      <c r="D73" s="14">
        <v>41.93</v>
      </c>
      <c r="E73" s="15">
        <f t="shared" si="6"/>
        <v>63.3143</v>
      </c>
      <c r="F73" s="11"/>
      <c r="K73" s="26"/>
    </row>
    <row r="74">
      <c r="A74" s="2"/>
      <c r="B74" s="40"/>
      <c r="C74" s="4"/>
      <c r="D74" s="21">
        <f t="shared" ref="D74:E74" si="7">$B68*D68+$B69*D69+$B70*D70+$B71*D71+$B72*D72+$B73*D73</f>
        <v>83.86</v>
      </c>
      <c r="E74" s="22">
        <f t="shared" si="7"/>
        <v>126.6286</v>
      </c>
      <c r="F74" s="11"/>
      <c r="K74" s="26"/>
    </row>
    <row r="75">
      <c r="A75" s="2"/>
      <c r="B75" s="19"/>
      <c r="E75" s="27"/>
      <c r="F75" s="11"/>
      <c r="K75" s="26"/>
    </row>
    <row r="76">
      <c r="A76" s="2"/>
      <c r="B76" s="19"/>
      <c r="E76" s="27"/>
      <c r="F76" s="11"/>
      <c r="K76" s="26"/>
    </row>
    <row r="77">
      <c r="A77" s="2"/>
      <c r="B77" s="19"/>
      <c r="E77" s="27"/>
      <c r="F77" s="11"/>
      <c r="K77" s="26"/>
    </row>
    <row r="78">
      <c r="A78" s="2"/>
      <c r="B78" s="19"/>
      <c r="E78" s="27"/>
      <c r="F78" s="11"/>
      <c r="K78" s="26"/>
    </row>
    <row r="79">
      <c r="A79" s="2"/>
      <c r="B79" s="19"/>
      <c r="E79" s="27"/>
      <c r="F79" s="11"/>
      <c r="K79" s="26"/>
    </row>
    <row r="80">
      <c r="A80" s="2"/>
      <c r="B80" s="19"/>
      <c r="E80" s="27"/>
      <c r="F80" s="11"/>
      <c r="K80" s="26"/>
    </row>
    <row r="81">
      <c r="A81" s="2"/>
      <c r="B81" s="19"/>
      <c r="E81" s="27"/>
      <c r="F81" s="11"/>
      <c r="K81" s="26"/>
    </row>
    <row r="82">
      <c r="A82" s="2"/>
      <c r="B82" s="19"/>
      <c r="E82" s="27"/>
      <c r="F82" s="11"/>
    </row>
    <row r="83">
      <c r="A83" s="2"/>
      <c r="B83" s="19"/>
      <c r="E83" s="27"/>
      <c r="F83" s="11"/>
    </row>
    <row r="84">
      <c r="A84" s="2"/>
      <c r="B84" s="31" t="s">
        <v>20</v>
      </c>
    </row>
    <row r="85">
      <c r="A85" s="2"/>
      <c r="B85" s="33" t="s">
        <v>2</v>
      </c>
      <c r="C85" s="34" t="s">
        <v>21</v>
      </c>
      <c r="D85" s="7" t="s">
        <v>3</v>
      </c>
    </row>
    <row r="86">
      <c r="A86" s="2"/>
      <c r="B86" s="35">
        <v>2.0</v>
      </c>
      <c r="C86" s="36">
        <v>5.0</v>
      </c>
      <c r="D86" s="37">
        <v>29.55</v>
      </c>
      <c r="E86" s="38">
        <f t="shared" ref="E86:E90" si="8">D86*I$10</f>
        <v>44.6205</v>
      </c>
      <c r="F86" s="11"/>
    </row>
    <row r="87">
      <c r="A87" s="2"/>
      <c r="B87" s="35">
        <v>4.0</v>
      </c>
      <c r="C87" s="36">
        <v>10.0</v>
      </c>
      <c r="D87" s="37">
        <v>37.82</v>
      </c>
      <c r="E87" s="38">
        <f t="shared" si="8"/>
        <v>57.1082</v>
      </c>
      <c r="F87" s="11"/>
    </row>
    <row r="88">
      <c r="A88" s="2"/>
      <c r="B88" s="35">
        <v>4.0</v>
      </c>
      <c r="C88" s="36">
        <v>15.0</v>
      </c>
      <c r="D88" s="37">
        <v>56.72</v>
      </c>
      <c r="E88" s="38">
        <f t="shared" si="8"/>
        <v>85.6472</v>
      </c>
      <c r="F88" s="11"/>
    </row>
    <row r="89">
      <c r="A89" s="2"/>
      <c r="B89" s="35">
        <v>4.0</v>
      </c>
      <c r="C89" s="36">
        <v>20.0</v>
      </c>
      <c r="D89" s="37">
        <v>75.63</v>
      </c>
      <c r="E89" s="38">
        <f t="shared" si="8"/>
        <v>114.2013</v>
      </c>
      <c r="F89" s="11"/>
    </row>
    <row r="90">
      <c r="A90" s="2"/>
      <c r="B90" s="12">
        <v>0.0</v>
      </c>
      <c r="C90" s="39">
        <v>25.0</v>
      </c>
      <c r="D90" s="14">
        <v>94.54</v>
      </c>
      <c r="E90" s="15">
        <f t="shared" si="8"/>
        <v>142.7554</v>
      </c>
      <c r="F90" s="11"/>
    </row>
    <row r="91">
      <c r="A91" s="2"/>
      <c r="B91" s="40"/>
      <c r="C91" s="41">
        <f t="shared" ref="C91:E91" si="9">$B86*C86+$B87*C87+$B88*C88+$B89*C89+$B90*C90</f>
        <v>190</v>
      </c>
      <c r="D91" s="21">
        <f t="shared" si="9"/>
        <v>739.78</v>
      </c>
      <c r="E91" s="22">
        <f t="shared" si="9"/>
        <v>1117.0678</v>
      </c>
      <c r="F91" s="11"/>
    </row>
    <row r="92">
      <c r="A92" s="2"/>
      <c r="B92" s="19"/>
      <c r="E92" s="27"/>
      <c r="F92" s="11"/>
    </row>
    <row r="93">
      <c r="A93" s="2"/>
      <c r="B93" s="19"/>
      <c r="E93" s="27"/>
      <c r="F93" s="11"/>
    </row>
    <row r="94">
      <c r="A94" s="2"/>
      <c r="B94" s="19"/>
      <c r="E94" s="27"/>
      <c r="F94" s="11"/>
    </row>
    <row r="95">
      <c r="A95" s="2"/>
      <c r="B95" s="19"/>
      <c r="E95" s="27"/>
      <c r="F95" s="11"/>
    </row>
    <row r="96">
      <c r="A96" s="2"/>
      <c r="B96" s="19"/>
      <c r="E96" s="27"/>
      <c r="F96" s="11"/>
    </row>
    <row r="97">
      <c r="A97" s="2"/>
      <c r="B97" s="19"/>
      <c r="E97" s="27"/>
      <c r="F97" s="11"/>
    </row>
    <row r="98">
      <c r="A98" s="2"/>
      <c r="B98" s="19"/>
      <c r="E98" s="27"/>
      <c r="F98" s="11"/>
    </row>
    <row r="99" ht="13.5" customHeight="1">
      <c r="A99" s="2"/>
      <c r="B99" s="42"/>
      <c r="C99" s="13"/>
      <c r="D99" s="13"/>
      <c r="E99" s="43"/>
      <c r="F99" s="11"/>
    </row>
  </sheetData>
  <mergeCells count="21">
    <mergeCell ref="B9:E9"/>
    <mergeCell ref="G9:I9"/>
    <mergeCell ref="B10:C10"/>
    <mergeCell ref="D10:E10"/>
    <mergeCell ref="B14:E14"/>
    <mergeCell ref="B15:C15"/>
    <mergeCell ref="D15:E15"/>
    <mergeCell ref="B53:E53"/>
    <mergeCell ref="B54:C54"/>
    <mergeCell ref="D54:E54"/>
    <mergeCell ref="B66:E66"/>
    <mergeCell ref="D67:E67"/>
    <mergeCell ref="B84:E84"/>
    <mergeCell ref="D85:E85"/>
    <mergeCell ref="B26:E26"/>
    <mergeCell ref="B27:E27"/>
    <mergeCell ref="B28:C28"/>
    <mergeCell ref="D28:E28"/>
    <mergeCell ref="B40:E40"/>
    <mergeCell ref="B41:C41"/>
    <mergeCell ref="D41:E41"/>
  </mergeCells>
  <drawing r:id="rId1"/>
</worksheet>
</file>