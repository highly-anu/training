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<sst xmlns="http://schemas.openxmlformats.org/spreadsheetml/2006/main" count="66" uniqueCount="65">
  <si>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</si>
  <si>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</si>
  <si>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</si>
  <si>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</si>
  <si>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</si>
  <si>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</si>
  <si>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</si>
  <si>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</si>
  <si>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</si>
  <si>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</si>
  <si>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</si>
  <si>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</si>
  <si>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</si>
  <si>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</si>
  <si>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</si>
  <si>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</si>
  <si>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</si>
  <si>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</si>
  <si>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</si>
  <si>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</si>
  <si>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</si>
  <si>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</si>
  <si>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</si>
  <si>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</si>
  <si>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Rent/Security</t>
  </si>
  <si>
    <t>Utilities</t>
  </si>
  <si>
    <t>Buildout</t>
  </si>
  <si>
    <t>Equipment</t>
  </si>
  <si>
    <t>Salary</t>
  </si>
  <si>
    <t>Total Outflow</t>
  </si>
  <si>
    <t>Cash Inflow from Members</t>
  </si>
  <si>
    <t>Number Athletes</t>
  </si>
  <si>
    <t>Net Flow</t>
  </si>
  <si>
    <t>Accumulated Deficit/Profit</t>
  </si>
  <si>
    <t>Profitable (Y/N)</t>
  </si>
  <si>
    <t>Initial investment payback</t>
  </si>
  <si>
    <t>Cash Needed</t>
  </si>
  <si>
    <t>Space Assumption</t>
  </si>
  <si>
    <t>Athletes training per class</t>
  </si>
  <si>
    <t>Square meters per athlete</t>
  </si>
  <si>
    <t>Square meters needed</t>
  </si>
  <si>
    <t>Assumptions</t>
  </si>
  <si>
    <t>New Athletes/Mo.</t>
  </si>
  <si>
    <t>Athletes at beginning</t>
  </si>
  <si>
    <t>Membership rate/Mo.</t>
  </si>
  <si>
    <t>Rent/Square m/Mo</t>
  </si>
  <si>
    <t>Rent/Mo.</t>
  </si>
  <si>
    <t>Security deposit</t>
  </si>
  <si>
    <t>Utilities/Mo.</t>
  </si>
  <si>
    <t>Salary/Mo.</t>
  </si>
  <si>
    <t>Initial equipment cost</t>
  </si>
  <si>
    <t>Buildout costs</t>
  </si>
  <si>
    <t>Space and time restrictions</t>
  </si>
  <si>
    <t>Max classes per day</t>
  </si>
  <si>
    <t>Max athletes per day</t>
  </si>
  <si>
    <t>Max members ratio</t>
  </si>
  <si>
    <t>Max members</t>
  </si>
  <si>
    <t>Member roof reached</t>
  </si>
  <si>
    <t>Financial outcome</t>
  </si>
  <si>
    <t>Break even month</t>
  </si>
  <si>
    <t>Athletes at brerak even</t>
  </si>
  <si>
    <t>Min classes per day</t>
  </si>
  <si>
    <t>Payback month</t>
  </si>
  <si>
    <t>Cashflow at member roof</t>
  </si>
  <si>
    <t>Deficit/profit at member 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</si>
</sst>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&quot;$&quot;(#,##0.00)"/>
  </numFmts>
  <fonts count="5">
    <font>
      <sz val="10.0"/>
      <color rgb="FF000000"/>
      <name val="Arial"/>
    </font>
    <font/>
    <font>
      <b/>
      <sz val="10.0"/>
      <color rgb="FF000000"/>
      <name val="Verdana"/>
    </font>
    <font>
      <sz val="10.0"/>
      <color rgb="FF000000"/>
      <name val="Verdana"/>
    </font>
    <font>
      <b/>
      <sz val="10.0"/>
      <color rgb="FFDD0806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shrinkToFit="0" wrapText="1"/>
    </xf>
    <xf borderId="2" fillId="2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6" fillId="0" fontId="1" numFmtId="0" xfId="0" applyAlignment="1" applyBorder="1" applyFont="1">
      <alignment shrinkToFit="0" wrapText="1"/>
    </xf>
    <xf borderId="2" fillId="0" fontId="3" numFmtId="164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vertical="bottom" wrapText="0"/>
    </xf>
    <xf borderId="7" fillId="0" fontId="1" numFmtId="0" xfId="0" applyAlignment="1" applyBorder="1" applyFont="1">
      <alignment shrinkToFit="0" wrapText="1"/>
    </xf>
    <xf borderId="2" fillId="4" fontId="3" numFmtId="0" xfId="0" applyAlignment="1" applyBorder="1" applyFill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5" fontId="3" numFmtId="0" xfId="0" applyAlignment="1" applyBorder="1" applyFill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5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2" fillId="0" fontId="3" numFmtId="164" xfId="0" applyAlignment="1" applyBorder="1" applyFont="1" applyNumberFormat="1">
      <alignment horizontal="right" shrinkToFit="0" vertical="bottom" wrapText="0"/>
    </xf>
    <xf borderId="8" fillId="0" fontId="1" numFmtId="0" xfId="0" applyAlignment="1" applyBorder="1" applyFont="1">
      <alignment shrinkToFit="0" wrapText="1"/>
    </xf>
    <xf borderId="9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2">
    <dxf>
      <font>
        <color rgb="FFDD0806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0.5"/>
    <col customWidth="1" min="2" max="2" width="17.38"/>
    <col customWidth="1" min="3" max="3" width="16.0"/>
    <col customWidth="1" min="4" max="4" width="18.5"/>
    <col customWidth="1" min="5" max="5" width="17.0"/>
    <col customWidth="1" min="6" max="6" width="16.63"/>
    <col customWidth="1" min="7" max="7" width="17.38"/>
    <col customWidth="1" min="8" max="23" width="15.25"/>
    <col customWidth="1" min="24" max="24" width="14.25"/>
    <col customWidth="1" min="25" max="25" width="14.38"/>
    <col customWidth="1" min="26" max="26" width="11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/>
    </row>
    <row r="2">
      <c r="A2" s="4" t="s">
        <v>24</v>
      </c>
      <c r="B2" s="5">
        <f>$B$28+$B$29</f>
        <v>1620</v>
      </c>
      <c r="C2" s="6">
        <f t="shared" ref="C2:Y2" si="1">$B$28</f>
        <v>1620</v>
      </c>
      <c r="D2" s="6">
        <f t="shared" si="1"/>
        <v>1620</v>
      </c>
      <c r="E2" s="6">
        <f t="shared" si="1"/>
        <v>1620</v>
      </c>
      <c r="F2" s="6">
        <f t="shared" si="1"/>
        <v>1620</v>
      </c>
      <c r="G2" s="6">
        <f t="shared" si="1"/>
        <v>1620</v>
      </c>
      <c r="H2" s="6">
        <f t="shared" si="1"/>
        <v>1620</v>
      </c>
      <c r="I2" s="6">
        <f t="shared" si="1"/>
        <v>1620</v>
      </c>
      <c r="J2" s="6">
        <f t="shared" si="1"/>
        <v>1620</v>
      </c>
      <c r="K2" s="6">
        <f t="shared" si="1"/>
        <v>1620</v>
      </c>
      <c r="L2" s="6">
        <f t="shared" si="1"/>
        <v>1620</v>
      </c>
      <c r="M2" s="6">
        <f t="shared" si="1"/>
        <v>1620</v>
      </c>
      <c r="N2" s="6">
        <f t="shared" si="1"/>
        <v>1620</v>
      </c>
      <c r="O2" s="6">
        <f t="shared" si="1"/>
        <v>1620</v>
      </c>
      <c r="P2" s="6">
        <f t="shared" si="1"/>
        <v>1620</v>
      </c>
      <c r="Q2" s="6">
        <f t="shared" si="1"/>
        <v>1620</v>
      </c>
      <c r="R2" s="6">
        <f t="shared" si="1"/>
        <v>1620</v>
      </c>
      <c r="S2" s="6">
        <f t="shared" si="1"/>
        <v>1620</v>
      </c>
      <c r="T2" s="6">
        <f t="shared" si="1"/>
        <v>1620</v>
      </c>
      <c r="U2" s="6">
        <f t="shared" si="1"/>
        <v>1620</v>
      </c>
      <c r="V2" s="6">
        <f t="shared" si="1"/>
        <v>1620</v>
      </c>
      <c r="W2" s="6">
        <f t="shared" si="1"/>
        <v>1620</v>
      </c>
      <c r="X2" s="6">
        <f t="shared" si="1"/>
        <v>1620</v>
      </c>
      <c r="Y2" s="6">
        <f t="shared" si="1"/>
        <v>1620</v>
      </c>
    </row>
    <row r="3">
      <c r="A3" s="4" t="s">
        <v>25</v>
      </c>
      <c r="B3" s="7">
        <f t="shared" ref="B3:Y3" si="2">$B$30</f>
        <v>500</v>
      </c>
      <c r="C3" s="8">
        <f t="shared" si="2"/>
        <v>500</v>
      </c>
      <c r="D3" s="8">
        <f t="shared" si="2"/>
        <v>500</v>
      </c>
      <c r="E3" s="8">
        <f t="shared" si="2"/>
        <v>500</v>
      </c>
      <c r="F3" s="8">
        <f t="shared" si="2"/>
        <v>500</v>
      </c>
      <c r="G3" s="8">
        <f t="shared" si="2"/>
        <v>500</v>
      </c>
      <c r="H3" s="8">
        <f t="shared" si="2"/>
        <v>500</v>
      </c>
      <c r="I3" s="8">
        <f t="shared" si="2"/>
        <v>500</v>
      </c>
      <c r="J3" s="8">
        <f t="shared" si="2"/>
        <v>500</v>
      </c>
      <c r="K3" s="8">
        <f t="shared" si="2"/>
        <v>500</v>
      </c>
      <c r="L3" s="8">
        <f t="shared" si="2"/>
        <v>500</v>
      </c>
      <c r="M3" s="8">
        <f t="shared" si="2"/>
        <v>500</v>
      </c>
      <c r="N3" s="8">
        <f t="shared" si="2"/>
        <v>500</v>
      </c>
      <c r="O3" s="8">
        <f t="shared" si="2"/>
        <v>500</v>
      </c>
      <c r="P3" s="8">
        <f t="shared" si="2"/>
        <v>500</v>
      </c>
      <c r="Q3" s="8">
        <f t="shared" si="2"/>
        <v>500</v>
      </c>
      <c r="R3" s="8">
        <f t="shared" si="2"/>
        <v>500</v>
      </c>
      <c r="S3" s="8">
        <f t="shared" si="2"/>
        <v>500</v>
      </c>
      <c r="T3" s="8">
        <f t="shared" si="2"/>
        <v>500</v>
      </c>
      <c r="U3" s="8">
        <f t="shared" si="2"/>
        <v>500</v>
      </c>
      <c r="V3" s="8">
        <f t="shared" si="2"/>
        <v>500</v>
      </c>
      <c r="W3" s="8">
        <f t="shared" si="2"/>
        <v>500</v>
      </c>
      <c r="X3" s="8">
        <f t="shared" si="2"/>
        <v>500</v>
      </c>
      <c r="Y3" s="8">
        <f t="shared" si="2"/>
        <v>500</v>
      </c>
    </row>
    <row r="4">
      <c r="A4" s="4" t="s">
        <v>26</v>
      </c>
      <c r="B4" s="7">
        <f>B33</f>
        <v>0</v>
      </c>
    </row>
    <row r="5">
      <c r="A5" s="4" t="s">
        <v>27</v>
      </c>
      <c r="B5" s="7">
        <f>B32</f>
        <v>6000</v>
      </c>
    </row>
    <row r="6">
      <c r="A6" s="4" t="s">
        <v>28</v>
      </c>
      <c r="B6" s="7">
        <f t="shared" ref="B6:Y6" si="3">$B$31</f>
        <v>0</v>
      </c>
      <c r="C6" s="8">
        <f t="shared" si="3"/>
        <v>0</v>
      </c>
      <c r="D6" s="8">
        <f t="shared" si="3"/>
        <v>0</v>
      </c>
      <c r="E6" s="8">
        <f t="shared" si="3"/>
        <v>0</v>
      </c>
      <c r="F6" s="8">
        <f t="shared" si="3"/>
        <v>0</v>
      </c>
      <c r="G6" s="8">
        <f t="shared" si="3"/>
        <v>0</v>
      </c>
      <c r="H6" s="8">
        <f t="shared" si="3"/>
        <v>0</v>
      </c>
      <c r="I6" s="8">
        <f t="shared" si="3"/>
        <v>0</v>
      </c>
      <c r="J6" s="8">
        <f t="shared" si="3"/>
        <v>0</v>
      </c>
      <c r="K6" s="8">
        <f t="shared" si="3"/>
        <v>0</v>
      </c>
      <c r="L6" s="8">
        <f t="shared" si="3"/>
        <v>0</v>
      </c>
      <c r="M6" s="8">
        <f t="shared" si="3"/>
        <v>0</v>
      </c>
      <c r="N6" s="8">
        <f t="shared" si="3"/>
        <v>0</v>
      </c>
      <c r="O6" s="8">
        <f t="shared" si="3"/>
        <v>0</v>
      </c>
      <c r="P6" s="8">
        <f t="shared" si="3"/>
        <v>0</v>
      </c>
      <c r="Q6" s="8">
        <f t="shared" si="3"/>
        <v>0</v>
      </c>
      <c r="R6" s="8">
        <f t="shared" si="3"/>
        <v>0</v>
      </c>
      <c r="S6" s="8">
        <f t="shared" si="3"/>
        <v>0</v>
      </c>
      <c r="T6" s="8">
        <f t="shared" si="3"/>
        <v>0</v>
      </c>
      <c r="U6" s="8">
        <f t="shared" si="3"/>
        <v>0</v>
      </c>
      <c r="V6" s="8">
        <f t="shared" si="3"/>
        <v>0</v>
      </c>
      <c r="W6" s="8">
        <f t="shared" si="3"/>
        <v>0</v>
      </c>
      <c r="X6" s="8">
        <f t="shared" si="3"/>
        <v>0</v>
      </c>
      <c r="Y6" s="8">
        <f t="shared" si="3"/>
        <v>0</v>
      </c>
    </row>
    <row r="7">
      <c r="A7" s="4" t="s">
        <v>29</v>
      </c>
      <c r="B7" s="7">
        <f t="shared" ref="B7:Y7" si="4">-(SUM(B2:B6))</f>
        <v>-8120</v>
      </c>
      <c r="C7" s="8">
        <f t="shared" si="4"/>
        <v>-2120</v>
      </c>
      <c r="D7" s="8">
        <f t="shared" si="4"/>
        <v>-2120</v>
      </c>
      <c r="E7" s="8">
        <f t="shared" si="4"/>
        <v>-2120</v>
      </c>
      <c r="F7" s="8">
        <f t="shared" si="4"/>
        <v>-2120</v>
      </c>
      <c r="G7" s="8">
        <f t="shared" si="4"/>
        <v>-2120</v>
      </c>
      <c r="H7" s="8">
        <f t="shared" si="4"/>
        <v>-2120</v>
      </c>
      <c r="I7" s="8">
        <f t="shared" si="4"/>
        <v>-2120</v>
      </c>
      <c r="J7" s="8">
        <f t="shared" si="4"/>
        <v>-2120</v>
      </c>
      <c r="K7" s="8">
        <f t="shared" si="4"/>
        <v>-2120</v>
      </c>
      <c r="L7" s="8">
        <f t="shared" si="4"/>
        <v>-2120</v>
      </c>
      <c r="M7" s="8">
        <f t="shared" si="4"/>
        <v>-2120</v>
      </c>
      <c r="N7" s="8">
        <f t="shared" si="4"/>
        <v>-2120</v>
      </c>
      <c r="O7" s="8">
        <f t="shared" si="4"/>
        <v>-2120</v>
      </c>
      <c r="P7" s="8">
        <f t="shared" si="4"/>
        <v>-2120</v>
      </c>
      <c r="Q7" s="8">
        <f t="shared" si="4"/>
        <v>-2120</v>
      </c>
      <c r="R7" s="8">
        <f t="shared" si="4"/>
        <v>-2120</v>
      </c>
      <c r="S7" s="8">
        <f t="shared" si="4"/>
        <v>-2120</v>
      </c>
      <c r="T7" s="8">
        <f t="shared" si="4"/>
        <v>-2120</v>
      </c>
      <c r="U7" s="8">
        <f t="shared" si="4"/>
        <v>-2120</v>
      </c>
      <c r="V7" s="8">
        <f t="shared" si="4"/>
        <v>-2120</v>
      </c>
      <c r="W7" s="8">
        <f t="shared" si="4"/>
        <v>-2120</v>
      </c>
      <c r="X7" s="8">
        <f t="shared" si="4"/>
        <v>-2120</v>
      </c>
      <c r="Y7" s="8">
        <f t="shared" si="4"/>
        <v>-2120</v>
      </c>
    </row>
    <row r="8">
      <c r="A8" s="4" t="s">
        <v>30</v>
      </c>
      <c r="B8" s="7">
        <f t="shared" ref="B8:Y8" si="5">B9*$B$26</f>
        <v>0</v>
      </c>
      <c r="C8" s="8">
        <f t="shared" si="5"/>
        <v>300</v>
      </c>
      <c r="D8" s="8">
        <f t="shared" si="5"/>
        <v>600</v>
      </c>
      <c r="E8" s="8">
        <f t="shared" si="5"/>
        <v>900</v>
      </c>
      <c r="F8" s="8">
        <f t="shared" si="5"/>
        <v>1200</v>
      </c>
      <c r="G8" s="8">
        <f t="shared" si="5"/>
        <v>1500</v>
      </c>
      <c r="H8" s="8">
        <f t="shared" si="5"/>
        <v>1800</v>
      </c>
      <c r="I8" s="8">
        <f t="shared" si="5"/>
        <v>2100</v>
      </c>
      <c r="J8" s="8">
        <f t="shared" si="5"/>
        <v>2400</v>
      </c>
      <c r="K8" s="8">
        <f t="shared" si="5"/>
        <v>2700</v>
      </c>
      <c r="L8" s="8">
        <f t="shared" si="5"/>
        <v>3000</v>
      </c>
      <c r="M8" s="8">
        <f t="shared" si="5"/>
        <v>3300</v>
      </c>
      <c r="N8" s="8">
        <f t="shared" si="5"/>
        <v>3600</v>
      </c>
      <c r="O8" s="8">
        <f t="shared" si="5"/>
        <v>3900</v>
      </c>
      <c r="P8" s="8">
        <f t="shared" si="5"/>
        <v>4200</v>
      </c>
      <c r="Q8" s="8">
        <f t="shared" si="5"/>
        <v>4500</v>
      </c>
      <c r="R8" s="8">
        <f t="shared" si="5"/>
        <v>4800</v>
      </c>
      <c r="S8" s="8">
        <f t="shared" si="5"/>
        <v>5100</v>
      </c>
      <c r="T8" s="8">
        <f t="shared" si="5"/>
        <v>5400</v>
      </c>
      <c r="U8" s="8">
        <f t="shared" si="5"/>
        <v>5700</v>
      </c>
      <c r="V8" s="8">
        <f t="shared" si="5"/>
        <v>6000</v>
      </c>
      <c r="W8" s="8">
        <f t="shared" si="5"/>
        <v>6300</v>
      </c>
      <c r="X8" s="8">
        <f t="shared" si="5"/>
        <v>6600</v>
      </c>
      <c r="Y8" s="8">
        <f t="shared" si="5"/>
        <v>6900</v>
      </c>
    </row>
    <row r="9">
      <c r="A9" s="4" t="s">
        <v>31</v>
      </c>
      <c r="B9" s="7">
        <f>B25</f>
        <v>0</v>
      </c>
      <c r="C9" s="8">
        <f t="shared" ref="C9:Y9" si="6">B9+$B$24</f>
        <v>3</v>
      </c>
      <c r="D9" s="8">
        <f t="shared" si="6"/>
        <v>6</v>
      </c>
      <c r="E9" s="8">
        <f t="shared" si="6"/>
        <v>9</v>
      </c>
      <c r="F9" s="8">
        <f t="shared" si="6"/>
        <v>12</v>
      </c>
      <c r="G9" s="8">
        <f t="shared" si="6"/>
        <v>15</v>
      </c>
      <c r="H9" s="8">
        <f t="shared" si="6"/>
        <v>18</v>
      </c>
      <c r="I9" s="8">
        <f t="shared" si="6"/>
        <v>21</v>
      </c>
      <c r="J9" s="8">
        <f t="shared" si="6"/>
        <v>24</v>
      </c>
      <c r="K9" s="8">
        <f t="shared" si="6"/>
        <v>27</v>
      </c>
      <c r="L9" s="8">
        <f t="shared" si="6"/>
        <v>30</v>
      </c>
      <c r="M9" s="8">
        <f t="shared" si="6"/>
        <v>33</v>
      </c>
      <c r="N9" s="8">
        <f t="shared" si="6"/>
        <v>36</v>
      </c>
      <c r="O9" s="8">
        <f t="shared" si="6"/>
        <v>39</v>
      </c>
      <c r="P9" s="8">
        <f t="shared" si="6"/>
        <v>42</v>
      </c>
      <c r="Q9" s="8">
        <f t="shared" si="6"/>
        <v>45</v>
      </c>
      <c r="R9" s="8">
        <f t="shared" si="6"/>
        <v>48</v>
      </c>
      <c r="S9" s="8">
        <f t="shared" si="6"/>
        <v>51</v>
      </c>
      <c r="T9" s="8">
        <f t="shared" si="6"/>
        <v>54</v>
      </c>
      <c r="U9" s="8">
        <f t="shared" si="6"/>
        <v>57</v>
      </c>
      <c r="V9" s="8">
        <f t="shared" si="6"/>
        <v>60</v>
      </c>
      <c r="W9" s="8">
        <f t="shared" si="6"/>
        <v>63</v>
      </c>
      <c r="X9" s="8">
        <f t="shared" si="6"/>
        <v>66</v>
      </c>
      <c r="Y9" s="8">
        <f t="shared" si="6"/>
        <v>69</v>
      </c>
    </row>
    <row r="10">
      <c r="A10" s="4" t="s">
        <v>32</v>
      </c>
      <c r="B10" s="7">
        <f t="shared" ref="B10:Y10" si="7">B7+B8</f>
        <v>-8120</v>
      </c>
      <c r="C10" s="8">
        <f t="shared" si="7"/>
        <v>-1820</v>
      </c>
      <c r="D10" s="8">
        <f t="shared" si="7"/>
        <v>-1520</v>
      </c>
      <c r="E10" s="8">
        <f t="shared" si="7"/>
        <v>-1220</v>
      </c>
      <c r="F10" s="8">
        <f t="shared" si="7"/>
        <v>-920</v>
      </c>
      <c r="G10" s="8">
        <f t="shared" si="7"/>
        <v>-620</v>
      </c>
      <c r="H10" s="8">
        <f t="shared" si="7"/>
        <v>-320</v>
      </c>
      <c r="I10" s="8">
        <f t="shared" si="7"/>
        <v>-20</v>
      </c>
      <c r="J10" s="8">
        <f t="shared" si="7"/>
        <v>280</v>
      </c>
      <c r="K10" s="8">
        <f t="shared" si="7"/>
        <v>580</v>
      </c>
      <c r="L10" s="8">
        <f t="shared" si="7"/>
        <v>880</v>
      </c>
      <c r="M10" s="8">
        <f t="shared" si="7"/>
        <v>1180</v>
      </c>
      <c r="N10" s="8">
        <f t="shared" si="7"/>
        <v>1480</v>
      </c>
      <c r="O10" s="8">
        <f t="shared" si="7"/>
        <v>1780</v>
      </c>
      <c r="P10" s="8">
        <f t="shared" si="7"/>
        <v>2080</v>
      </c>
      <c r="Q10" s="8">
        <f t="shared" si="7"/>
        <v>2380</v>
      </c>
      <c r="R10" s="8">
        <f t="shared" si="7"/>
        <v>2680</v>
      </c>
      <c r="S10" s="8">
        <f t="shared" si="7"/>
        <v>2980</v>
      </c>
      <c r="T10" s="8">
        <f t="shared" si="7"/>
        <v>3280</v>
      </c>
      <c r="U10" s="8">
        <f t="shared" si="7"/>
        <v>3580</v>
      </c>
      <c r="V10" s="8">
        <f t="shared" si="7"/>
        <v>3880</v>
      </c>
      <c r="W10" s="8">
        <f t="shared" si="7"/>
        <v>4180</v>
      </c>
      <c r="X10" s="8">
        <f t="shared" si="7"/>
        <v>4480</v>
      </c>
      <c r="Y10" s="8">
        <f t="shared" si="7"/>
        <v>4780</v>
      </c>
    </row>
    <row r="11">
      <c r="A11" s="4" t="s">
        <v>33</v>
      </c>
      <c r="B11" s="9">
        <f>B10</f>
        <v>-8120</v>
      </c>
      <c r="C11" s="10">
        <f t="shared" ref="C11:Y11" si="8">B11+C10</f>
        <v>-9940</v>
      </c>
      <c r="D11" s="10">
        <f t="shared" si="8"/>
        <v>-11460</v>
      </c>
      <c r="E11" s="10">
        <f t="shared" si="8"/>
        <v>-12680</v>
      </c>
      <c r="F11" s="10">
        <f t="shared" si="8"/>
        <v>-13600</v>
      </c>
      <c r="G11" s="10">
        <f t="shared" si="8"/>
        <v>-14220</v>
      </c>
      <c r="H11" s="10">
        <f t="shared" si="8"/>
        <v>-14540</v>
      </c>
      <c r="I11" s="10">
        <f t="shared" si="8"/>
        <v>-14560</v>
      </c>
      <c r="J11" s="10">
        <f t="shared" si="8"/>
        <v>-14280</v>
      </c>
      <c r="K11" s="10">
        <f t="shared" si="8"/>
        <v>-13700</v>
      </c>
      <c r="L11" s="10">
        <f t="shared" si="8"/>
        <v>-12820</v>
      </c>
      <c r="M11" s="10">
        <f t="shared" si="8"/>
        <v>-11640</v>
      </c>
      <c r="N11" s="10">
        <f t="shared" si="8"/>
        <v>-10160</v>
      </c>
      <c r="O11" s="10">
        <f t="shared" si="8"/>
        <v>-8380</v>
      </c>
      <c r="P11" s="10">
        <f t="shared" si="8"/>
        <v>-6300</v>
      </c>
      <c r="Q11" s="10">
        <f t="shared" si="8"/>
        <v>-3920</v>
      </c>
      <c r="R11" s="10">
        <f t="shared" si="8"/>
        <v>-1240</v>
      </c>
      <c r="S11" s="10">
        <f t="shared" si="8"/>
        <v>1740</v>
      </c>
      <c r="T11" s="10">
        <f t="shared" si="8"/>
        <v>5020</v>
      </c>
      <c r="U11" s="10">
        <f t="shared" si="8"/>
        <v>8600</v>
      </c>
      <c r="V11" s="10">
        <f t="shared" si="8"/>
        <v>12480</v>
      </c>
      <c r="W11" s="10">
        <f t="shared" si="8"/>
        <v>16660</v>
      </c>
      <c r="X11" s="10">
        <f t="shared" si="8"/>
        <v>21140</v>
      </c>
      <c r="Y11" s="10">
        <f t="shared" si="8"/>
        <v>25920</v>
      </c>
    </row>
    <row r="12">
      <c r="A12" s="4" t="s">
        <v>34</v>
      </c>
      <c r="B12" s="11" t="str">
        <f t="shared" ref="B12:Y12" si="9">IF(B10&gt;0,"yes","no")</f>
        <v>no</v>
      </c>
      <c r="C12" s="11" t="str">
        <f t="shared" si="9"/>
        <v>no</v>
      </c>
      <c r="D12" s="11" t="str">
        <f t="shared" si="9"/>
        <v>no</v>
      </c>
      <c r="E12" s="11" t="str">
        <f t="shared" si="9"/>
        <v>no</v>
      </c>
      <c r="F12" s="11" t="str">
        <f t="shared" si="9"/>
        <v>no</v>
      </c>
      <c r="G12" s="11" t="str">
        <f t="shared" si="9"/>
        <v>no</v>
      </c>
      <c r="H12" s="11" t="str">
        <f t="shared" si="9"/>
        <v>no</v>
      </c>
      <c r="I12" s="11" t="str">
        <f t="shared" si="9"/>
        <v>no</v>
      </c>
      <c r="J12" s="11" t="str">
        <f t="shared" si="9"/>
        <v>yes</v>
      </c>
      <c r="K12" s="11" t="str">
        <f t="shared" si="9"/>
        <v>yes</v>
      </c>
      <c r="L12" s="11" t="str">
        <f t="shared" si="9"/>
        <v>yes</v>
      </c>
      <c r="M12" s="11" t="str">
        <f t="shared" si="9"/>
        <v>yes</v>
      </c>
      <c r="N12" s="11" t="str">
        <f t="shared" si="9"/>
        <v>yes</v>
      </c>
      <c r="O12" s="11" t="str">
        <f t="shared" si="9"/>
        <v>yes</v>
      </c>
      <c r="P12" s="11" t="str">
        <f t="shared" si="9"/>
        <v>yes</v>
      </c>
      <c r="Q12" s="11" t="str">
        <f t="shared" si="9"/>
        <v>yes</v>
      </c>
      <c r="R12" s="11" t="str">
        <f t="shared" si="9"/>
        <v>yes</v>
      </c>
      <c r="S12" s="11" t="str">
        <f t="shared" si="9"/>
        <v>yes</v>
      </c>
      <c r="T12" s="11" t="str">
        <f t="shared" si="9"/>
        <v>yes</v>
      </c>
      <c r="U12" s="11" t="str">
        <f t="shared" si="9"/>
        <v>yes</v>
      </c>
      <c r="V12" s="11" t="str">
        <f t="shared" si="9"/>
        <v>yes</v>
      </c>
      <c r="W12" s="11" t="str">
        <f t="shared" si="9"/>
        <v>yes</v>
      </c>
      <c r="X12" s="11" t="str">
        <f t="shared" si="9"/>
        <v>yes</v>
      </c>
      <c r="Y12" s="11" t="str">
        <f t="shared" si="9"/>
        <v>yes</v>
      </c>
      <c r="Z12" s="12"/>
    </row>
    <row r="13">
      <c r="A13" s="4" t="s">
        <v>35</v>
      </c>
      <c r="B13" s="11" t="str">
        <f t="shared" ref="B13:Y13" si="10">IF(B11&gt;0,"yes","no")</f>
        <v>no</v>
      </c>
      <c r="C13" s="11" t="str">
        <f t="shared" si="10"/>
        <v>no</v>
      </c>
      <c r="D13" s="11" t="str">
        <f t="shared" si="10"/>
        <v>no</v>
      </c>
      <c r="E13" s="11" t="str">
        <f t="shared" si="10"/>
        <v>no</v>
      </c>
      <c r="F13" s="11" t="str">
        <f t="shared" si="10"/>
        <v>no</v>
      </c>
      <c r="G13" s="11" t="str">
        <f t="shared" si="10"/>
        <v>no</v>
      </c>
      <c r="H13" s="11" t="str">
        <f t="shared" si="10"/>
        <v>no</v>
      </c>
      <c r="I13" s="11" t="str">
        <f t="shared" si="10"/>
        <v>no</v>
      </c>
      <c r="J13" s="11" t="str">
        <f t="shared" si="10"/>
        <v>no</v>
      </c>
      <c r="K13" s="11" t="str">
        <f t="shared" si="10"/>
        <v>no</v>
      </c>
      <c r="L13" s="11" t="str">
        <f t="shared" si="10"/>
        <v>no</v>
      </c>
      <c r="M13" s="11" t="str">
        <f t="shared" si="10"/>
        <v>no</v>
      </c>
      <c r="N13" s="11" t="str">
        <f t="shared" si="10"/>
        <v>no</v>
      </c>
      <c r="O13" s="11" t="str">
        <f t="shared" si="10"/>
        <v>no</v>
      </c>
      <c r="P13" s="11" t="str">
        <f t="shared" si="10"/>
        <v>no</v>
      </c>
      <c r="Q13" s="11" t="str">
        <f t="shared" si="10"/>
        <v>no</v>
      </c>
      <c r="R13" s="11" t="str">
        <f t="shared" si="10"/>
        <v>no</v>
      </c>
      <c r="S13" s="11" t="str">
        <f t="shared" si="10"/>
        <v>yes</v>
      </c>
      <c r="T13" s="11" t="str">
        <f t="shared" si="10"/>
        <v>yes</v>
      </c>
      <c r="U13" s="11" t="str">
        <f t="shared" si="10"/>
        <v>yes</v>
      </c>
      <c r="V13" s="11" t="str">
        <f t="shared" si="10"/>
        <v>yes</v>
      </c>
      <c r="W13" s="11" t="str">
        <f t="shared" si="10"/>
        <v>yes</v>
      </c>
      <c r="X13" s="11" t="str">
        <f t="shared" si="10"/>
        <v>yes</v>
      </c>
      <c r="Y13" s="11" t="str">
        <f t="shared" si="10"/>
        <v>yes</v>
      </c>
      <c r="Z13" s="13"/>
    </row>
    <row r="14">
      <c r="A14" s="2" t="s">
        <v>36</v>
      </c>
      <c r="B14" s="14">
        <f>-MIN(B11:Y11)</f>
        <v>14560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6"/>
    </row>
    <row r="16">
      <c r="B16" s="16"/>
    </row>
    <row r="17">
      <c r="A17" s="17"/>
      <c r="B17" s="17"/>
    </row>
    <row r="18">
      <c r="A18" s="18" t="s">
        <v>37</v>
      </c>
      <c r="B18" s="19"/>
      <c r="C18" s="3"/>
    </row>
    <row r="19">
      <c r="A19" s="20" t="s">
        <v>38</v>
      </c>
      <c r="B19" s="21">
        <v>9.0</v>
      </c>
      <c r="C19" s="3"/>
    </row>
    <row r="20">
      <c r="A20" s="20" t="s">
        <v>39</v>
      </c>
      <c r="B20" s="21">
        <v>18.0</v>
      </c>
      <c r="C20" s="3"/>
    </row>
    <row r="21">
      <c r="A21" s="20" t="s">
        <v>40</v>
      </c>
      <c r="B21" s="22">
        <f>B19*B20</f>
        <v>162</v>
      </c>
      <c r="C21" s="3"/>
    </row>
    <row r="22">
      <c r="A22" s="23"/>
      <c r="B22" s="22"/>
      <c r="C22" s="3"/>
    </row>
    <row r="23">
      <c r="A23" s="18" t="s">
        <v>41</v>
      </c>
      <c r="B23" s="22"/>
      <c r="C23" s="3"/>
    </row>
    <row r="24">
      <c r="A24" s="20" t="s">
        <v>42</v>
      </c>
      <c r="B24" s="21">
        <v>3.0</v>
      </c>
      <c r="C24" s="3"/>
    </row>
    <row r="25">
      <c r="A25" s="20" t="s">
        <v>43</v>
      </c>
      <c r="B25" s="21">
        <v>0.0</v>
      </c>
      <c r="C25" s="3"/>
    </row>
    <row r="26">
      <c r="A26" s="20" t="s">
        <v>44</v>
      </c>
      <c r="B26" s="24">
        <v>100.0</v>
      </c>
      <c r="C26" s="3"/>
    </row>
    <row r="27">
      <c r="A27" s="20" t="s">
        <v>45</v>
      </c>
      <c r="B27" s="24">
        <v>10.0</v>
      </c>
      <c r="C27" s="3"/>
    </row>
    <row r="28">
      <c r="A28" s="20" t="s">
        <v>46</v>
      </c>
      <c r="B28" s="25">
        <f>B21*B27</f>
        <v>1620</v>
      </c>
      <c r="C28" s="3"/>
    </row>
    <row r="29">
      <c r="A29" s="20" t="s">
        <v>47</v>
      </c>
      <c r="B29" s="24">
        <v>0.0</v>
      </c>
      <c r="C29" s="3"/>
    </row>
    <row r="30">
      <c r="A30" s="20" t="s">
        <v>48</v>
      </c>
      <c r="B30" s="24">
        <v>500.0</v>
      </c>
      <c r="C30" s="3"/>
    </row>
    <row r="31">
      <c r="A31" s="20" t="s">
        <v>49</v>
      </c>
      <c r="B31" s="24">
        <v>0.0</v>
      </c>
      <c r="C31" s="3"/>
    </row>
    <row r="32">
      <c r="A32" s="20" t="s">
        <v>50</v>
      </c>
      <c r="B32" s="24">
        <v>6000.0</v>
      </c>
      <c r="C32" s="3"/>
    </row>
    <row r="33">
      <c r="A33" s="20" t="s">
        <v>51</v>
      </c>
      <c r="B33" s="24">
        <v>0.0</v>
      </c>
      <c r="C33" s="3"/>
    </row>
    <row r="34">
      <c r="A34" s="19"/>
      <c r="B34" s="26"/>
      <c r="C34" s="3"/>
    </row>
    <row r="35">
      <c r="A35" s="18" t="s">
        <v>52</v>
      </c>
      <c r="B35" s="22"/>
      <c r="C35" s="3"/>
    </row>
    <row r="36">
      <c r="A36" s="20" t="s">
        <v>53</v>
      </c>
      <c r="B36" s="21">
        <v>3.0</v>
      </c>
      <c r="C36" s="3"/>
    </row>
    <row r="37">
      <c r="A37" s="20" t="s">
        <v>54</v>
      </c>
      <c r="B37" s="22">
        <f>B36*B19</f>
        <v>27</v>
      </c>
      <c r="C37" s="3"/>
    </row>
    <row r="38">
      <c r="A38" s="20" t="s">
        <v>55</v>
      </c>
      <c r="B38" s="21">
        <v>1.5</v>
      </c>
      <c r="C38" s="3"/>
    </row>
    <row r="39">
      <c r="A39" s="20" t="s">
        <v>56</v>
      </c>
      <c r="B39" s="22">
        <f>B37*B38</f>
        <v>40.5</v>
      </c>
      <c r="C39" s="3"/>
    </row>
    <row r="40">
      <c r="A40" s="20" t="s">
        <v>57</v>
      </c>
      <c r="B40" s="22" t="str">
        <f t="array" ref="B40">INDEX(B1:Y1,0,MATCH(MROUND(B39,B24),B9:Y9,0))</f>
        <v>M15</v>
      </c>
      <c r="C40" s="3"/>
    </row>
    <row r="41">
      <c r="A41" s="27"/>
      <c r="B41" s="27"/>
    </row>
    <row r="42">
      <c r="A42" s="18" t="s">
        <v>58</v>
      </c>
      <c r="B42" s="19"/>
      <c r="C42" s="3"/>
    </row>
    <row r="43">
      <c r="A43" s="20" t="s">
        <v>59</v>
      </c>
      <c r="B43" s="22" t="str">
        <f t="array" ref="B43">INDEX(B1:Y1,0,MATCH("Yes",B12:Y12,0))</f>
        <v>M9</v>
      </c>
      <c r="C43" s="3"/>
    </row>
    <row r="44">
      <c r="A44" s="20" t="s">
        <v>60</v>
      </c>
      <c r="B44" s="19">
        <f t="array" ref="B44">INDEX(B9:Y9,0,MATCH("Yes",B12:Y12,0))</f>
        <v>24</v>
      </c>
      <c r="C44" s="3"/>
    </row>
    <row r="45">
      <c r="A45" s="20" t="s">
        <v>61</v>
      </c>
      <c r="B45" s="19">
        <f>ROUNDUP(B44/B19,0)</f>
        <v>3</v>
      </c>
      <c r="C45" s="3"/>
    </row>
    <row r="46">
      <c r="A46" s="19"/>
      <c r="B46" s="19"/>
      <c r="C46" s="3"/>
    </row>
    <row r="47">
      <c r="A47" s="28" t="s">
        <v>62</v>
      </c>
      <c r="B47" s="22" t="str">
        <f t="array" ref="B47">INDEX(B1:Y1,0,MATCH("Yes",B13:Y13,0))</f>
        <v>M18</v>
      </c>
      <c r="C47" s="3"/>
    </row>
    <row r="48">
      <c r="A48" s="17"/>
      <c r="B48" s="27"/>
    </row>
    <row r="49">
      <c r="A49" s="20" t="s">
        <v>63</v>
      </c>
      <c r="B49" s="25">
        <f t="array" ref="B49">INDEX(B10:Y10,0,MATCH(B40,B1:Y1,0))</f>
        <v>2080</v>
      </c>
      <c r="C49" s="3"/>
    </row>
    <row r="50">
      <c r="A50" s="20" t="s">
        <v>64</v>
      </c>
      <c r="B50" s="25">
        <f t="array" ref="B50">INDEX(B11:Y11,0,MATCH(B40,B1:Y1,0))</f>
        <v>-6300</v>
      </c>
      <c r="C50" s="3"/>
    </row>
    <row r="51">
      <c r="A51" s="20" t="s">
        <v>62</v>
      </c>
      <c r="B51" s="29" t="str">
        <f t="array" ref="B51">INDEX(B1:Y1,0,MATCH(B40,B1:Y1,0)+ROUNDUP(ABS(B50)/B49,0))</f>
        <v>M19</v>
      </c>
    </row>
  </sheetData>
  <conditionalFormatting sqref="B14:B16">
    <cfRule type="cellIs" dxfId="0" priority="1" operator="lessThan">
      <formula>0</formula>
    </cfRule>
  </conditionalFormatting>
  <conditionalFormatting sqref="B12:Y13">
    <cfRule type="cellIs" dxfId="1" priority="2" operator="equal">
      <formula>"yes"</formula>
    </cfRule>
  </conditionalFormatting>
  <drawing r:id="rId1"/>
</worksheet>
</file>